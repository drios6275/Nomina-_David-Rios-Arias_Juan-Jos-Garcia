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elbb/Downloads/"/>
    </mc:Choice>
  </mc:AlternateContent>
  <xr:revisionPtr revIDLastSave="0" documentId="13_ncr:1_{5FBB891B-036B-274F-90A5-0995D9AA903D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Casos de Prueb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1" l="1"/>
  <c r="D19" i="1"/>
  <c r="F18" i="1"/>
  <c r="D18" i="1"/>
  <c r="E18" i="1" s="1"/>
  <c r="D17" i="1"/>
  <c r="D14" i="1"/>
  <c r="D13" i="1"/>
  <c r="D12" i="1"/>
  <c r="D9" i="1"/>
  <c r="D8" i="1"/>
  <c r="D7" i="1"/>
  <c r="F20" i="1" l="1"/>
  <c r="E20" i="1"/>
  <c r="F19" i="1"/>
  <c r="E19" i="1"/>
  <c r="F17" i="1"/>
  <c r="E17" i="1"/>
  <c r="E14" i="1"/>
  <c r="F14" i="1" s="1"/>
  <c r="E13" i="1"/>
  <c r="F13" i="1" s="1"/>
  <c r="E12" i="1"/>
  <c r="F12" i="1" s="1"/>
  <c r="E9" i="1"/>
  <c r="F9" i="1" s="1"/>
  <c r="E8" i="1"/>
  <c r="F8" i="1" s="1"/>
  <c r="E7" i="1"/>
  <c r="F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3" authorId="0" shapeId="0" xr:uid="{00000000-0006-0000-0000-000001000000}">
      <text>
        <r>
          <rPr>
            <sz val="10"/>
            <rFont val="Arial"/>
            <family val="2"/>
          </rPr>
          <t>Valor de referencia (ajustar según el Decreto oficial del SMLV vigente para el año que se esté liquidando). No se pudo confirmar el valor oficial 2026 en este ejercicio; se usa como parámetro editable para las fórmulas.</t>
        </r>
      </text>
    </comment>
  </commentList>
</comments>
</file>

<file path=xl/sharedStrings.xml><?xml version="1.0" encoding="utf-8"?>
<sst xmlns="http://schemas.openxmlformats.org/spreadsheetml/2006/main" count="31" uniqueCount="31">
  <si>
    <t>Liquidador de Nómina - Casos de Prueba</t>
  </si>
  <si>
    <t>Parámetros</t>
  </si>
  <si>
    <t>ENTRADAS</t>
  </si>
  <si>
    <t>SALIDAS</t>
  </si>
  <si>
    <t>SMLV Referencia</t>
  </si>
  <si>
    <t>Caso</t>
  </si>
  <si>
    <t>Salario Mensual</t>
  </si>
  <si>
    <t>Días Trabajados</t>
  </si>
  <si>
    <t>Salario Quincenal Bruto</t>
  </si>
  <si>
    <t>Total Deducciones (8%)</t>
  </si>
  <si>
    <t>Salario Neto a Pagar</t>
  </si>
  <si>
    <t>% Deducción (Salud + Pensión)</t>
  </si>
  <si>
    <t>Días máx. quincena</t>
  </si>
  <si>
    <t>Casos Normales</t>
  </si>
  <si>
    <t>Días del mes (base)</t>
  </si>
  <si>
    <t>Caso Normal 1 - Quincena completa</t>
  </si>
  <si>
    <t>Caso Normal 2 - Salario bajo, quincena completa</t>
  </si>
  <si>
    <t>Nota: 'Días trabajados' se refiere a los días laborados dentro de la quincena que se está liquidando (1 a 15). Si el ingreso del empleado fue a mitad de periodo, los días trabajados son los días reales desde la fecha de ingreso hasta el cierre de la quincena.</t>
  </si>
  <si>
    <t>Caso Normal 3 - Salario alto, quincena completa</t>
  </si>
  <si>
    <t>Casos Extraordinarios</t>
  </si>
  <si>
    <t>Ingreso a mitad de quincena (8 días)</t>
  </si>
  <si>
    <t>Un solo día trabajado</t>
  </si>
  <si>
    <t>Salario exacto en el SMLV</t>
  </si>
  <si>
    <t>Casos de Error</t>
  </si>
  <si>
    <t>Error Salario Cero</t>
  </si>
  <si>
    <t>Error Salario Menor al SMLV</t>
  </si>
  <si>
    <t>Error Días en Cero</t>
  </si>
  <si>
    <t>Error Días Excedidos (&gt; 15)</t>
  </si>
  <si>
    <t>nota: cuando una persona gana mas de 4 minimos y paga solidaridad</t>
  </si>
  <si>
    <t>nota:cuando alguien gana mas de 10 salarios integral</t>
  </si>
  <si>
    <t>nota:cuando alguien gana 2 salarios minimos o menos auxilio de trasporte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</si>
</sst>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;[Red]&quot;-$&quot;#,##0.00;General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4C6E7"/>
        <bgColor rgb="FFBFBFBF"/>
      </patternFill>
    </fill>
    <fill>
      <patternFill patternType="solid">
        <fgColor rgb="FFC6E0B4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164" fontId="4" fillId="5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9" fontId="4" fillId="5" borderId="1" xfId="0" applyNumberFormat="1" applyFont="1" applyFill="1" applyBorder="1"/>
    <xf numFmtId="0" fontId="4" fillId="5" borderId="1" xfId="0" applyFont="1" applyFill="1" applyBorder="1"/>
    <xf numFmtId="0" fontId="4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65" zoomScaleNormal="100" workbookViewId="0">
      <pane ySplit="4" topLeftCell="A5" activePane="bottomLeft" state="frozen"/>
      <selection pane="bottomLeft" activeCell="A15" sqref="A15"/>
    </sheetView>
  </sheetViews>
  <sheetFormatPr baseColWidth="10" defaultColWidth="8.6640625" defaultRowHeight="15" x14ac:dyDescent="0.2"/>
  <cols>
    <col min="1" max="1" width="26" customWidth="1"/>
    <col min="2" max="2" width="20" customWidth="1"/>
    <col min="3" max="3" width="16" customWidth="1"/>
    <col min="4" max="4" width="24" customWidth="1"/>
    <col min="5" max="6" width="22" customWidth="1"/>
    <col min="7" max="7" width="3" customWidth="1"/>
    <col min="8" max="8" width="30" customWidth="1"/>
    <col min="9" max="9" width="16" customWidth="1"/>
  </cols>
  <sheetData>
    <row r="1" spans="1:9" ht="18" x14ac:dyDescent="0.2">
      <c r="A1" s="6" t="s">
        <v>0</v>
      </c>
      <c r="B1" s="6"/>
      <c r="C1" s="6"/>
      <c r="D1" s="6"/>
      <c r="E1" s="6"/>
      <c r="F1" s="6"/>
    </row>
    <row r="2" spans="1:9" ht="15" customHeight="1" x14ac:dyDescent="0.2">
      <c r="H2" s="5" t="s">
        <v>1</v>
      </c>
      <c r="I2" s="5"/>
    </row>
    <row r="3" spans="1:9" ht="15" customHeight="1" x14ac:dyDescent="0.2">
      <c r="B3" s="4" t="s">
        <v>2</v>
      </c>
      <c r="C3" s="4"/>
      <c r="D3" s="3" t="s">
        <v>3</v>
      </c>
      <c r="E3" s="3"/>
      <c r="F3" s="3"/>
      <c r="H3" s="7" t="s">
        <v>4</v>
      </c>
      <c r="I3" s="8">
        <v>1300000</v>
      </c>
    </row>
    <row r="4" spans="1:9" ht="30" x14ac:dyDescent="0.2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H4" s="7" t="s">
        <v>11</v>
      </c>
      <c r="I4" s="10">
        <v>0.08</v>
      </c>
    </row>
    <row r="5" spans="1:9" x14ac:dyDescent="0.2">
      <c r="H5" s="7" t="s">
        <v>12</v>
      </c>
      <c r="I5" s="11">
        <v>15</v>
      </c>
    </row>
    <row r="6" spans="1:9" x14ac:dyDescent="0.2">
      <c r="A6" s="2" t="s">
        <v>13</v>
      </c>
      <c r="B6" s="2"/>
      <c r="C6" s="2"/>
      <c r="D6" s="2"/>
      <c r="E6" s="2"/>
      <c r="F6" s="2"/>
      <c r="H6" s="7" t="s">
        <v>14</v>
      </c>
      <c r="I6" s="11">
        <v>30</v>
      </c>
    </row>
    <row r="7" spans="1:9" x14ac:dyDescent="0.2">
      <c r="A7" s="12" t="s">
        <v>15</v>
      </c>
      <c r="B7" s="13">
        <v>3500000</v>
      </c>
      <c r="C7" s="14">
        <v>15</v>
      </c>
      <c r="D7" s="15">
        <f>IF(B7&lt;=0,"ERROR: El salario debe ser mayor que cero",IF(B7&lt;$I$3,"ERROR: El salario no puede ser inferior al salario mínimo legal vigente (SMLV)",IF(OR(C7&lt;=0,C7&gt;$I$5),"ERROR: Los días trabajados deben estar entre 1 y "&amp;$I$5,ROUND(B7/$I$6*C7,2))))</f>
        <v>1750000</v>
      </c>
      <c r="E7" s="15">
        <f>IF(ISNUMBER(D7),ROUND(D7*$I$4,2),"")</f>
        <v>140000</v>
      </c>
      <c r="F7" s="15">
        <f>IF(ISNUMBER(D7),ROUND(D7-E7,2),"")</f>
        <v>1610000</v>
      </c>
    </row>
    <row r="8" spans="1:9" ht="15" customHeight="1" x14ac:dyDescent="0.2">
      <c r="A8" s="12" t="s">
        <v>16</v>
      </c>
      <c r="B8" s="13">
        <v>2000000</v>
      </c>
      <c r="C8" s="14">
        <v>15</v>
      </c>
      <c r="D8" s="15">
        <f>IF(B8&lt;=0,"ERROR: El salario debe ser mayor que cero",IF(B8&lt;$I$3,"ERROR: El salario no puede ser inferior al salario mínimo legal vigente (SMLV)",IF(OR(C8&lt;=0,C8&gt;$I$5),"ERROR: Los días trabajados deben estar entre 1 y "&amp;$I$5,ROUND(B8/$I$6*C8,2))))</f>
        <v>1000000</v>
      </c>
      <c r="E8" s="15">
        <f>IF(ISNUMBER(D8),ROUND(D8*$I$4,2),"")</f>
        <v>80000</v>
      </c>
      <c r="F8" s="15">
        <f>IF(ISNUMBER(D8),ROUND(D8-E8,2),"")</f>
        <v>920000</v>
      </c>
      <c r="H8" s="1" t="s">
        <v>17</v>
      </c>
      <c r="I8" s="1"/>
    </row>
    <row r="9" spans="1:9" x14ac:dyDescent="0.2">
      <c r="A9" s="12" t="s">
        <v>18</v>
      </c>
      <c r="B9" s="13">
        <v>4800000</v>
      </c>
      <c r="C9" s="14">
        <v>15</v>
      </c>
      <c r="D9" s="15">
        <f>IF(B9&lt;=0,"ERROR: El salario debe ser mayor que cero",IF(B9&lt;$I$3,"ERROR: El salario no puede ser inferior al salario mínimo legal vigente (SMLV)",IF(OR(C9&lt;=0,C9&gt;$I$5),"ERROR: Los días trabajados deben estar entre 1 y "&amp;$I$5,ROUND(B9/$I$6*C9,2))))</f>
        <v>2400000</v>
      </c>
      <c r="E9" s="15">
        <f>IF(ISNUMBER(D9),ROUND(D9*$I$4,2),"")</f>
        <v>192000</v>
      </c>
      <c r="F9" s="15">
        <f>IF(ISNUMBER(D9),ROUND(D9-E9,2),"")</f>
        <v>2208000</v>
      </c>
      <c r="H9" s="1"/>
      <c r="I9" s="1"/>
    </row>
    <row r="10" spans="1:9" x14ac:dyDescent="0.2">
      <c r="H10" s="1"/>
      <c r="I10" s="1"/>
    </row>
    <row r="11" spans="1:9" x14ac:dyDescent="0.2">
      <c r="A11" s="2" t="s">
        <v>19</v>
      </c>
      <c r="B11" s="2"/>
      <c r="C11" s="2"/>
      <c r="D11" s="2"/>
      <c r="E11" s="2"/>
      <c r="F11" s="2"/>
      <c r="H11" s="1"/>
      <c r="I11" s="1"/>
    </row>
    <row r="12" spans="1:9" x14ac:dyDescent="0.2">
      <c r="A12" s="12" t="s">
        <v>20</v>
      </c>
      <c r="B12" s="13">
        <v>3500000</v>
      </c>
      <c r="C12" s="14">
        <v>8</v>
      </c>
      <c r="D12" s="15">
        <f>IF(B12&lt;=0,"ERROR: El salario debe ser mayor que cero",IF(B12&lt;$I$3,"ERROR: El salario no puede ser inferior al salario mínimo legal vigente (SMLV)",IF(OR(C12&lt;=0,C12&gt;$I$5),"ERROR: Los días trabajados deben estar entre 1 y "&amp;$I$5,ROUND(B12/$I$6*C12,2))))</f>
        <v>933333.33</v>
      </c>
      <c r="E12" s="15">
        <f>IF(ISNUMBER(D12),ROUND(D12*$I$4,2),"")</f>
        <v>74666.67</v>
      </c>
      <c r="F12" s="15">
        <f>IF(ISNUMBER(D12),ROUND(D12-E12,2),"")</f>
        <v>858666.66</v>
      </c>
      <c r="H12" s="1"/>
      <c r="I12" s="1"/>
    </row>
    <row r="13" spans="1:9" x14ac:dyDescent="0.2">
      <c r="A13" s="12" t="s">
        <v>21</v>
      </c>
      <c r="B13" s="13">
        <v>1300000</v>
      </c>
      <c r="C13" s="14">
        <v>1</v>
      </c>
      <c r="D13" s="15">
        <f>IF(B13&lt;=0,"ERROR: El salario debe ser mayor que cero",IF(B13&lt;$I$3,"ERROR: El salario no puede ser inferior al salario mínimo legal vigente (SMLV)",IF(OR(C13&lt;=0,C13&gt;$I$5),"ERROR: Los días trabajados deben estar entre 1 y "&amp;$I$5,ROUND(B13/$I$6*C13,2))))</f>
        <v>43333.33</v>
      </c>
      <c r="E13" s="15">
        <f>IF(ISNUMBER(D13),ROUND(D13*$I$4,2),"")</f>
        <v>3466.67</v>
      </c>
      <c r="F13" s="15">
        <f>IF(ISNUMBER(D13),ROUND(D13-E13,2),"")</f>
        <v>39866.660000000003</v>
      </c>
      <c r="H13" s="1"/>
      <c r="I13" s="1"/>
    </row>
    <row r="14" spans="1:9" x14ac:dyDescent="0.2">
      <c r="A14" s="12" t="s">
        <v>22</v>
      </c>
      <c r="B14" s="13">
        <v>1300000</v>
      </c>
      <c r="C14" s="14">
        <v>15</v>
      </c>
      <c r="D14" s="15">
        <f>IF(B14&lt;=0,"ERROR: El salario debe ser mayor que cero",IF(B14&lt;$I$3,"ERROR: El salario no puede ser inferior al salario mínimo legal vigente (SMLV)",IF(OR(C14&lt;=0,C14&gt;$I$5),"ERROR: Los días trabajados deben estar entre 1 y "&amp;$I$5,ROUND(B14/$I$6*C14,2))))</f>
        <v>650000</v>
      </c>
      <c r="E14" s="15">
        <f>IF(ISNUMBER(D14),ROUND(D14*$I$4,2),"")</f>
        <v>52000</v>
      </c>
      <c r="F14" s="15">
        <f>IF(ISNUMBER(D14),ROUND(D14-E14,2),"")</f>
        <v>598000</v>
      </c>
      <c r="H14" s="1"/>
      <c r="I14" s="1"/>
    </row>
    <row r="16" spans="1:9" x14ac:dyDescent="0.2">
      <c r="A16" s="2" t="s">
        <v>23</v>
      </c>
      <c r="B16" s="2"/>
      <c r="C16" s="2"/>
      <c r="D16" s="2"/>
      <c r="E16" s="2"/>
      <c r="F16" s="2"/>
    </row>
    <row r="17" spans="1:6" x14ac:dyDescent="0.2">
      <c r="A17" s="12" t="s">
        <v>24</v>
      </c>
      <c r="B17" s="13">
        <v>0</v>
      </c>
      <c r="C17" s="14">
        <v>15</v>
      </c>
      <c r="D17" s="15" t="str">
        <f>IF(B17&lt;=0,"ERROR: El salario debe ser mayor que cero",IF(B17&lt;$I$3,"ERROR: El salario no puede ser inferior al salario mínimo legal vigente (SMLV)",IF(OR(C17&lt;=0,C17&gt;$I$5),"ERROR: Los días trabajados deben estar entre 1 y "&amp;$I$5,ROUND(B17/$I$6*C17,2))))</f>
        <v>ERROR: El salario debe ser mayor que cero</v>
      </c>
      <c r="E17" s="15" t="str">
        <f>IF(ISNUMBER(D17),ROUND(D17*$I$4,2),"")</f>
        <v/>
      </c>
      <c r="F17" s="15" t="str">
        <f>IF(ISNUMBER(D17),ROUND(D17-E17,2),"")</f>
        <v/>
      </c>
    </row>
    <row r="18" spans="1:6" x14ac:dyDescent="0.2">
      <c r="A18" s="12" t="s">
        <v>25</v>
      </c>
      <c r="B18" s="13">
        <v>900000</v>
      </c>
      <c r="C18" s="14">
        <v>15</v>
      </c>
      <c r="D18" s="15" t="str">
        <f>IF(B18&lt;=0,"ERROR: El salario debe ser mayor que cero",IF(B18&lt;$I$3,"ERROR: El salario no puede ser inferior al salario mínimo legal vigente (SMLV)",IF(OR(C18&lt;=0,C18&gt;$I$5),"ERROR: Los días trabajados deben estar entre 1 y "&amp;$I$5,ROUND(B18/$I$6*C18,2))))</f>
        <v>ERROR: El salario no puede ser inferior al salario mínimo legal vigente (SMLV)</v>
      </c>
      <c r="E18" s="15" t="str">
        <f>IF(ISNUMBER(D18),ROUND(D18*$I$4,2),"")</f>
        <v/>
      </c>
      <c r="F18" s="15" t="str">
        <f>IF(ISNUMBER(D18),ROUND(D18-E18,2),"")</f>
        <v/>
      </c>
    </row>
    <row r="19" spans="1:6" x14ac:dyDescent="0.2">
      <c r="A19" s="12" t="s">
        <v>26</v>
      </c>
      <c r="B19" s="13">
        <v>3500000</v>
      </c>
      <c r="C19" s="14">
        <v>0</v>
      </c>
      <c r="D19" s="15" t="str">
        <f>IF(B19&lt;=0,"ERROR: El salario debe ser mayor que cero",IF(B19&lt;$I$3,"ERROR: El salario no puede ser inferior al salario mínimo legal vigente (SMLV)",IF(OR(C19&lt;=0,C19&gt;$I$5),"ERROR: Los días trabajados deben estar entre 1 y "&amp;$I$5,ROUND(B19/$I$6*C19,2))))</f>
        <v>ERROR: Los días trabajados deben estar entre 1 y 15</v>
      </c>
      <c r="E19" s="15" t="str">
        <f>IF(ISNUMBER(D19),ROUND(D19*$I$4,2),"")</f>
        <v/>
      </c>
      <c r="F19" s="15" t="str">
        <f>IF(ISNUMBER(D19),ROUND(D19-E19,2),"")</f>
        <v/>
      </c>
    </row>
    <row r="20" spans="1:6" x14ac:dyDescent="0.2">
      <c r="A20" s="12" t="s">
        <v>27</v>
      </c>
      <c r="B20" s="13">
        <v>3500000</v>
      </c>
      <c r="C20" s="14">
        <v>20</v>
      </c>
      <c r="D20" s="15" t="str">
        <f>IF(B20&lt;=0,"ERROR: El salario debe ser mayor que cero",IF(B20&lt;$I$3,"ERROR: El salario no puede ser inferior al salario mínimo legal vigente (SMLV)",IF(OR(C20&lt;=0,C20&gt;$I$5),"ERROR: Los días trabajados deben estar entre 1 y "&amp;$I$5,ROUND(B20/$I$6*C20,2))))</f>
        <v>ERROR: Los días trabajados deben estar entre 1 y 15</v>
      </c>
      <c r="E20" s="15" t="str">
        <f>IF(ISNUMBER(D20),ROUND(D20*$I$4,2),"")</f>
        <v/>
      </c>
      <c r="F20" s="15" t="str">
        <f>IF(ISNUMBER(D20),ROUND(D20-E20,2),"")</f>
        <v/>
      </c>
    </row>
    <row r="24" spans="1:6" x14ac:dyDescent="0.2">
      <c r="A24" t="s">
        <v>28</v>
      </c>
    </row>
    <row r="25" spans="1:6" x14ac:dyDescent="0.2">
      <c r="A25" t="s">
        <v>29</v>
      </c>
    </row>
    <row r="26" spans="1:6" x14ac:dyDescent="0.2">
      <c r="A26" t="s">
        <v>30</v>
      </c>
    </row>
  </sheetData>
  <mergeCells count="8">
    <mergeCell ref="H8:I14"/>
    <mergeCell ref="A11:F11"/>
    <mergeCell ref="A16:F16"/>
    <mergeCell ref="A1:F1"/>
    <mergeCell ref="H2:I2"/>
    <mergeCell ref="B3:C3"/>
    <mergeCell ref="D3:F3"/>
    <mergeCell ref="A6:F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Rios Arias</cp:lastModifiedBy>
  <cp:revision>0</cp:revision>
  <dcterms:created xsi:type="dcterms:W3CDTF">2026-07-29T03:44:25Z</dcterms:created>
  <dcterms:modified xsi:type="dcterms:W3CDTF">2026-07-29T14:20:35Z</dcterms:modified>
  <dc:language>en-US</dc:language>
</cp:coreProperties>
</file>